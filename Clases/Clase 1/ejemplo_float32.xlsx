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jp1\Documents\Clases\FLCS_ESEDA\Clases\Clase 1\"/>
    </mc:Choice>
  </mc:AlternateContent>
  <xr:revisionPtr revIDLastSave="0" documentId="8_{725ED5DC-9E0F-4E2C-98C0-08F302893640}" xr6:coauthVersionLast="47" xr6:coauthVersionMax="47" xr10:uidLastSave="{00000000-0000-0000-0000-000000000000}"/>
  <bookViews>
    <workbookView xWindow="-108" yWindow="-108" windowWidth="23256" windowHeight="13896" xr2:uid="{C03A975C-70CF-4686-89C5-D1A37198E2B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" l="1"/>
  <c r="I26" i="1"/>
  <c r="I24" i="1"/>
  <c r="F26" i="1"/>
  <c r="F24" i="1"/>
  <c r="F5" i="1"/>
  <c r="A5" i="1"/>
  <c r="B4" i="1"/>
  <c r="D4" i="1" s="1"/>
  <c r="I25" i="1" l="1"/>
  <c r="B28" i="1"/>
  <c r="F6" i="1"/>
  <c r="G5" i="1"/>
  <c r="I5" i="1" s="1"/>
  <c r="B5" i="1"/>
  <c r="D5" i="1" s="1"/>
  <c r="A6" i="1"/>
  <c r="F7" i="1" l="1"/>
  <c r="G6" i="1"/>
  <c r="I6" i="1" s="1"/>
  <c r="A7" i="1"/>
  <c r="B7" i="1" s="1"/>
  <c r="D7" i="1" s="1"/>
  <c r="B6" i="1"/>
  <c r="D6" i="1" s="1"/>
  <c r="A8" i="1"/>
  <c r="F8" i="1" l="1"/>
  <c r="G7" i="1"/>
  <c r="I7" i="1" s="1"/>
  <c r="A9" i="1"/>
  <c r="B8" i="1"/>
  <c r="D8" i="1" s="1"/>
  <c r="F9" i="1" l="1"/>
  <c r="G8" i="1"/>
  <c r="I8" i="1" s="1"/>
  <c r="B9" i="1"/>
  <c r="D9" i="1" s="1"/>
  <c r="A10" i="1"/>
  <c r="F10" i="1" l="1"/>
  <c r="F11" i="1" s="1"/>
  <c r="F12" i="1" s="1"/>
  <c r="F13" i="1" s="1"/>
  <c r="F14" i="1" s="1"/>
  <c r="F15" i="1" s="1"/>
  <c r="F16" i="1" s="1"/>
  <c r="F17" i="1" s="1"/>
  <c r="F18" i="1" s="1"/>
  <c r="F19" i="1" s="1"/>
  <c r="G9" i="1"/>
  <c r="I9" i="1" s="1"/>
  <c r="G10" i="1"/>
  <c r="I10" i="1" s="1"/>
  <c r="B10" i="1"/>
  <c r="D10" i="1" s="1"/>
  <c r="A11" i="1"/>
  <c r="G11" i="1" l="1"/>
  <c r="I11" i="1" s="1"/>
  <c r="A12" i="1"/>
  <c r="B11" i="1"/>
  <c r="D11" i="1" s="1"/>
  <c r="G12" i="1" l="1"/>
  <c r="I12" i="1" s="1"/>
  <c r="A13" i="1"/>
  <c r="B12" i="1"/>
  <c r="D12" i="1" s="1"/>
  <c r="G13" i="1" l="1"/>
  <c r="I13" i="1" s="1"/>
  <c r="B13" i="1"/>
  <c r="D13" i="1" s="1"/>
  <c r="A14" i="1"/>
  <c r="G14" i="1" l="1"/>
  <c r="I14" i="1" s="1"/>
  <c r="B14" i="1"/>
  <c r="D14" i="1" s="1"/>
  <c r="A15" i="1"/>
  <c r="G15" i="1" l="1"/>
  <c r="I15" i="1" s="1"/>
  <c r="B15" i="1"/>
  <c r="D15" i="1" s="1"/>
  <c r="A16" i="1"/>
  <c r="G16" i="1" l="1"/>
  <c r="I16" i="1" s="1"/>
  <c r="B16" i="1"/>
  <c r="D16" i="1" s="1"/>
  <c r="A17" i="1"/>
  <c r="G17" i="1" l="1"/>
  <c r="I17" i="1" s="1"/>
  <c r="B17" i="1"/>
  <c r="D17" i="1" s="1"/>
  <c r="A18" i="1"/>
  <c r="G18" i="1" l="1"/>
  <c r="I18" i="1" s="1"/>
  <c r="G19" i="1"/>
  <c r="I19" i="1" s="1"/>
  <c r="B18" i="1"/>
  <c r="D18" i="1" s="1"/>
  <c r="A19" i="1"/>
  <c r="B19" i="1" s="1"/>
  <c r="D19" i="1" s="1"/>
</calcChain>
</file>

<file path=xl/sharedStrings.xml><?xml version="1.0" encoding="utf-8"?>
<sst xmlns="http://schemas.openxmlformats.org/spreadsheetml/2006/main" count="20" uniqueCount="20">
  <si>
    <t>ENTERO</t>
  </si>
  <si>
    <t>DECIMAL</t>
  </si>
  <si>
    <t>parte entera</t>
  </si>
  <si>
    <t>fracción</t>
  </si>
  <si>
    <t>residuo</t>
  </si>
  <si>
    <t>decimal</t>
  </si>
  <si>
    <t>parte decimal</t>
  </si>
  <si>
    <t>parte fracción</t>
  </si>
  <si>
    <t>-&gt;</t>
  </si>
  <si>
    <t>1.101111x2^3</t>
  </si>
  <si>
    <t>VALOR a</t>
  </si>
  <si>
    <t>s</t>
  </si>
  <si>
    <t>m</t>
  </si>
  <si>
    <t>sin el 1 -&gt;</t>
  </si>
  <si>
    <t>negativo -&gt;</t>
  </si>
  <si>
    <t>e</t>
  </si>
  <si>
    <t>exp 3+127</t>
  </si>
  <si>
    <t>binario -&gt;</t>
  </si>
  <si>
    <t>en float32</t>
  </si>
  <si>
    <t>https://www.h-schmidt.net/FloatConverter/IEEE754.html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</si>
</sst>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quotePrefix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266700</xdr:colOff>
      <xdr:row>1</xdr:row>
      <xdr:rowOff>175260</xdr:rowOff>
    </xdr:from>
    <xdr:to>
      <xdr:col>12</xdr:col>
      <xdr:colOff>213684</xdr:colOff>
      <xdr:row>7</xdr:row>
      <xdr:rowOff>21087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86D198-B639-E99B-B4DF-16B8C6B6D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9020" y="358140"/>
          <a:ext cx="2324424" cy="943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h-schmidt.net/FloatConverter/IEEE75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291E-C2F8-446B-BE4E-4E3A7542F564}">
  <dimension ref="A1:I30"/>
  <sheetViews>
    <sheetView tabSelected="1" workbookViewId="0">
      <selection activeCell="F15" sqref="F15"/>
    </sheetView>
  </sheetViews>
  <sheetFormatPr baseColWidth="10" defaultRowHeight="14.4" x14ac:dyDescent="0.3"/>
  <sheetData>
    <row r="1" spans="1:9" x14ac:dyDescent="0.3">
      <c r="A1" t="s">
        <v>10</v>
      </c>
      <c r="B1">
        <v>-13.875</v>
      </c>
    </row>
    <row r="3" spans="1:9" x14ac:dyDescent="0.3">
      <c r="A3" t="s">
        <v>0</v>
      </c>
      <c r="B3" t="s">
        <v>4</v>
      </c>
      <c r="C3" t="s">
        <v>5</v>
      </c>
      <c r="D3" t="s">
        <v>6</v>
      </c>
      <c r="F3" t="s">
        <v>1</v>
      </c>
      <c r="G3" t="s">
        <v>2</v>
      </c>
      <c r="H3" t="s">
        <v>3</v>
      </c>
      <c r="I3" t="s">
        <v>7</v>
      </c>
    </row>
    <row r="4" spans="1:9" x14ac:dyDescent="0.3">
      <c r="A4" s="1">
        <v>130</v>
      </c>
      <c r="B4">
        <f>MOD(A4,2)</f>
        <v>0</v>
      </c>
      <c r="C4">
        <v>0</v>
      </c>
      <c r="D4">
        <f>B4*2^C4</f>
        <v>0</v>
      </c>
      <c r="F4" s="1">
        <v>0.875</v>
      </c>
    </row>
    <row r="5" spans="1:9" x14ac:dyDescent="0.3">
      <c r="A5">
        <f>QUOTIENT(A4,2)</f>
        <v>65</v>
      </c>
      <c r="B5">
        <f>MOD(A5,2)</f>
        <v>1</v>
      </c>
      <c r="C5">
        <v>1</v>
      </c>
      <c r="D5">
        <f t="shared" ref="D5:D19" si="0">B5*2^C5</f>
        <v>2</v>
      </c>
      <c r="F5">
        <f>MOD(F4,1)*2</f>
        <v>1.75</v>
      </c>
      <c r="G5">
        <f>QUOTIENT(F5,1)</f>
        <v>1</v>
      </c>
      <c r="H5">
        <v>1</v>
      </c>
      <c r="I5">
        <f>G5*(1/2)^H5</f>
        <v>0.5</v>
      </c>
    </row>
    <row r="6" spans="1:9" x14ac:dyDescent="0.3">
      <c r="A6">
        <f t="shared" ref="A6:A19" si="1">QUOTIENT(A5,2)</f>
        <v>32</v>
      </c>
      <c r="B6">
        <f t="shared" ref="B6:B19" si="2">MOD(A6,2)</f>
        <v>0</v>
      </c>
      <c r="C6">
        <v>2</v>
      </c>
      <c r="D6">
        <f t="shared" si="0"/>
        <v>0</v>
      </c>
      <c r="F6">
        <f t="shared" ref="F6:F19" si="3">MOD(F5,1)*2</f>
        <v>1.5</v>
      </c>
      <c r="G6">
        <f t="shared" ref="G6:G19" si="4">QUOTIENT(F6,1)</f>
        <v>1</v>
      </c>
      <c r="H6">
        <v>2</v>
      </c>
      <c r="I6">
        <f t="shared" ref="I6:I19" si="5">G6*(1/2)^H6</f>
        <v>0.25</v>
      </c>
    </row>
    <row r="7" spans="1:9" x14ac:dyDescent="0.3">
      <c r="A7">
        <f t="shared" si="1"/>
        <v>16</v>
      </c>
      <c r="B7">
        <f t="shared" si="2"/>
        <v>0</v>
      </c>
      <c r="C7">
        <v>3</v>
      </c>
      <c r="D7">
        <f t="shared" si="0"/>
        <v>0</v>
      </c>
      <c r="F7">
        <f t="shared" si="3"/>
        <v>1</v>
      </c>
      <c r="G7">
        <f t="shared" si="4"/>
        <v>1</v>
      </c>
      <c r="H7">
        <v>3</v>
      </c>
      <c r="I7">
        <f t="shared" si="5"/>
        <v>0.125</v>
      </c>
    </row>
    <row r="8" spans="1:9" x14ac:dyDescent="0.3">
      <c r="A8">
        <f t="shared" si="1"/>
        <v>8</v>
      </c>
      <c r="B8">
        <f t="shared" si="2"/>
        <v>0</v>
      </c>
      <c r="C8">
        <v>4</v>
      </c>
      <c r="D8">
        <f t="shared" si="0"/>
        <v>0</v>
      </c>
      <c r="F8">
        <f t="shared" si="3"/>
        <v>0</v>
      </c>
      <c r="G8">
        <f t="shared" si="4"/>
        <v>0</v>
      </c>
      <c r="H8">
        <v>4</v>
      </c>
      <c r="I8">
        <f t="shared" si="5"/>
        <v>0</v>
      </c>
    </row>
    <row r="9" spans="1:9" x14ac:dyDescent="0.3">
      <c r="A9">
        <f t="shared" si="1"/>
        <v>4</v>
      </c>
      <c r="B9">
        <f t="shared" si="2"/>
        <v>0</v>
      </c>
      <c r="C9">
        <v>5</v>
      </c>
      <c r="D9">
        <f t="shared" si="0"/>
        <v>0</v>
      </c>
      <c r="F9">
        <f t="shared" si="3"/>
        <v>0</v>
      </c>
      <c r="G9">
        <f t="shared" si="4"/>
        <v>0</v>
      </c>
      <c r="H9">
        <v>5</v>
      </c>
      <c r="I9">
        <f t="shared" si="5"/>
        <v>0</v>
      </c>
    </row>
    <row r="10" spans="1:9" x14ac:dyDescent="0.3">
      <c r="A10">
        <f t="shared" si="1"/>
        <v>2</v>
      </c>
      <c r="B10">
        <f t="shared" si="2"/>
        <v>0</v>
      </c>
      <c r="C10">
        <v>6</v>
      </c>
      <c r="D10">
        <f t="shared" si="0"/>
        <v>0</v>
      </c>
      <c r="F10">
        <f t="shared" si="3"/>
        <v>0</v>
      </c>
      <c r="G10">
        <f t="shared" si="4"/>
        <v>0</v>
      </c>
      <c r="H10">
        <v>6</v>
      </c>
      <c r="I10">
        <f t="shared" si="5"/>
        <v>0</v>
      </c>
    </row>
    <row r="11" spans="1:9" x14ac:dyDescent="0.3">
      <c r="A11">
        <f t="shared" si="1"/>
        <v>1</v>
      </c>
      <c r="B11">
        <f t="shared" si="2"/>
        <v>1</v>
      </c>
      <c r="C11">
        <v>7</v>
      </c>
      <c r="D11">
        <f t="shared" si="0"/>
        <v>128</v>
      </c>
      <c r="F11">
        <f t="shared" si="3"/>
        <v>0</v>
      </c>
      <c r="G11">
        <f t="shared" si="4"/>
        <v>0</v>
      </c>
      <c r="H11">
        <v>7</v>
      </c>
      <c r="I11">
        <f t="shared" si="5"/>
        <v>0</v>
      </c>
    </row>
    <row r="12" spans="1:9" x14ac:dyDescent="0.3">
      <c r="A12">
        <f t="shared" si="1"/>
        <v>0</v>
      </c>
      <c r="B12">
        <f t="shared" si="2"/>
        <v>0</v>
      </c>
      <c r="C12">
        <v>8</v>
      </c>
      <c r="D12">
        <f t="shared" si="0"/>
        <v>0</v>
      </c>
      <c r="F12">
        <f t="shared" si="3"/>
        <v>0</v>
      </c>
      <c r="G12">
        <f t="shared" si="4"/>
        <v>0</v>
      </c>
      <c r="H12">
        <v>8</v>
      </c>
      <c r="I12">
        <f t="shared" si="5"/>
        <v>0</v>
      </c>
    </row>
    <row r="13" spans="1:9" x14ac:dyDescent="0.3">
      <c r="A13">
        <f t="shared" si="1"/>
        <v>0</v>
      </c>
      <c r="B13">
        <f t="shared" si="2"/>
        <v>0</v>
      </c>
      <c r="C13">
        <v>9</v>
      </c>
      <c r="D13">
        <f t="shared" si="0"/>
        <v>0</v>
      </c>
      <c r="F13">
        <f t="shared" si="3"/>
        <v>0</v>
      </c>
      <c r="G13">
        <f t="shared" si="4"/>
        <v>0</v>
      </c>
      <c r="H13">
        <v>9</v>
      </c>
      <c r="I13">
        <f t="shared" si="5"/>
        <v>0</v>
      </c>
    </row>
    <row r="14" spans="1:9" x14ac:dyDescent="0.3">
      <c r="A14">
        <f t="shared" si="1"/>
        <v>0</v>
      </c>
      <c r="B14">
        <f t="shared" si="2"/>
        <v>0</v>
      </c>
      <c r="C14">
        <v>10</v>
      </c>
      <c r="D14">
        <f t="shared" si="0"/>
        <v>0</v>
      </c>
      <c r="F14">
        <f t="shared" si="3"/>
        <v>0</v>
      </c>
      <c r="G14">
        <f t="shared" si="4"/>
        <v>0</v>
      </c>
      <c r="H14">
        <v>10</v>
      </c>
      <c r="I14">
        <f t="shared" si="5"/>
        <v>0</v>
      </c>
    </row>
    <row r="15" spans="1:9" x14ac:dyDescent="0.3">
      <c r="A15">
        <f t="shared" si="1"/>
        <v>0</v>
      </c>
      <c r="B15">
        <f t="shared" si="2"/>
        <v>0</v>
      </c>
      <c r="C15">
        <v>11</v>
      </c>
      <c r="D15">
        <f t="shared" si="0"/>
        <v>0</v>
      </c>
      <c r="F15">
        <f t="shared" si="3"/>
        <v>0</v>
      </c>
      <c r="G15">
        <f t="shared" si="4"/>
        <v>0</v>
      </c>
      <c r="H15">
        <v>11</v>
      </c>
      <c r="I15">
        <f t="shared" si="5"/>
        <v>0</v>
      </c>
    </row>
    <row r="16" spans="1:9" x14ac:dyDescent="0.3">
      <c r="A16">
        <f t="shared" si="1"/>
        <v>0</v>
      </c>
      <c r="B16">
        <f t="shared" si="2"/>
        <v>0</v>
      </c>
      <c r="C16">
        <v>12</v>
      </c>
      <c r="D16">
        <f t="shared" si="0"/>
        <v>0</v>
      </c>
      <c r="F16">
        <f t="shared" si="3"/>
        <v>0</v>
      </c>
      <c r="G16">
        <f t="shared" si="4"/>
        <v>0</v>
      </c>
      <c r="H16">
        <v>12</v>
      </c>
      <c r="I16">
        <f t="shared" si="5"/>
        <v>0</v>
      </c>
    </row>
    <row r="17" spans="1:9" x14ac:dyDescent="0.3">
      <c r="A17">
        <f t="shared" si="1"/>
        <v>0</v>
      </c>
      <c r="B17">
        <f t="shared" si="2"/>
        <v>0</v>
      </c>
      <c r="C17">
        <v>13</v>
      </c>
      <c r="D17">
        <f t="shared" si="0"/>
        <v>0</v>
      </c>
      <c r="F17">
        <f t="shared" si="3"/>
        <v>0</v>
      </c>
      <c r="G17">
        <f t="shared" si="4"/>
        <v>0</v>
      </c>
      <c r="H17">
        <v>13</v>
      </c>
      <c r="I17">
        <f t="shared" si="5"/>
        <v>0</v>
      </c>
    </row>
    <row r="18" spans="1:9" x14ac:dyDescent="0.3">
      <c r="A18">
        <f t="shared" si="1"/>
        <v>0</v>
      </c>
      <c r="B18">
        <f t="shared" si="2"/>
        <v>0</v>
      </c>
      <c r="C18">
        <v>14</v>
      </c>
      <c r="D18">
        <f t="shared" si="0"/>
        <v>0</v>
      </c>
      <c r="F18">
        <f t="shared" si="3"/>
        <v>0</v>
      </c>
      <c r="G18">
        <f t="shared" si="4"/>
        <v>0</v>
      </c>
      <c r="H18">
        <v>14</v>
      </c>
      <c r="I18">
        <f t="shared" si="5"/>
        <v>0</v>
      </c>
    </row>
    <row r="19" spans="1:9" x14ac:dyDescent="0.3">
      <c r="A19">
        <f t="shared" si="1"/>
        <v>0</v>
      </c>
      <c r="B19">
        <f t="shared" si="2"/>
        <v>0</v>
      </c>
      <c r="C19">
        <v>15</v>
      </c>
      <c r="D19">
        <f t="shared" si="0"/>
        <v>0</v>
      </c>
      <c r="F19">
        <f t="shared" si="3"/>
        <v>0</v>
      </c>
      <c r="G19">
        <f t="shared" si="4"/>
        <v>0</v>
      </c>
      <c r="H19">
        <v>14</v>
      </c>
      <c r="I19">
        <f t="shared" si="5"/>
        <v>0</v>
      </c>
    </row>
    <row r="22" spans="1:9" x14ac:dyDescent="0.3">
      <c r="A22">
        <v>1101.1110000000001</v>
      </c>
      <c r="B22" s="2" t="s">
        <v>8</v>
      </c>
      <c r="C22" t="s">
        <v>9</v>
      </c>
    </row>
    <row r="24" spans="1:9" x14ac:dyDescent="0.3">
      <c r="A24" t="s">
        <v>11</v>
      </c>
      <c r="C24" t="s">
        <v>14</v>
      </c>
      <c r="D24">
        <v>1</v>
      </c>
      <c r="F24" t="str">
        <f>TEXT(D24,"0")</f>
        <v>1</v>
      </c>
      <c r="I24">
        <f>LEN(F24)</f>
        <v>1</v>
      </c>
    </row>
    <row r="25" spans="1:9" x14ac:dyDescent="0.3">
      <c r="A25" t="s">
        <v>12</v>
      </c>
      <c r="B25">
        <v>1.101111</v>
      </c>
      <c r="C25" s="2" t="s">
        <v>13</v>
      </c>
      <c r="D25">
        <v>101111</v>
      </c>
      <c r="F25" t="str">
        <f>D25&amp;REPT("0",23-LEN(D25))</f>
        <v>10111100000000000000000</v>
      </c>
      <c r="I25">
        <f>LEN(F25)</f>
        <v>23</v>
      </c>
    </row>
    <row r="26" spans="1:9" x14ac:dyDescent="0.3">
      <c r="A26" t="s">
        <v>15</v>
      </c>
      <c r="B26" s="2" t="s">
        <v>16</v>
      </c>
      <c r="C26" t="s">
        <v>17</v>
      </c>
      <c r="D26">
        <v>10000010</v>
      </c>
      <c r="F26" t="str">
        <f>TEXT(D26,"00000000")</f>
        <v>10000010</v>
      </c>
      <c r="I26">
        <f>LEN(F26)</f>
        <v>8</v>
      </c>
    </row>
    <row r="28" spans="1:9" x14ac:dyDescent="0.3">
      <c r="A28" t="s">
        <v>18</v>
      </c>
      <c r="B28" t="str">
        <f>CONCATENATE(F24,F26,F25)</f>
        <v>11000001010111100000000000000000</v>
      </c>
    </row>
    <row r="30" spans="1:9" x14ac:dyDescent="0.3">
      <c r="B30" s="3" t="s">
        <v>19</v>
      </c>
    </row>
  </sheetData>
  <hyperlinks>
    <hyperlink ref="B30" r:id="rId1" xr:uid="{22C309DD-2FAB-442B-9AA2-1AEEDD7B889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Jácome</dc:creator>
  <cp:lastModifiedBy>Fausto Jácome</cp:lastModifiedBy>
  <dcterms:created xsi:type="dcterms:W3CDTF">2026-05-11T15:13:36Z</dcterms:created>
  <dcterms:modified xsi:type="dcterms:W3CDTF">2026-05-11T16:09:12Z</dcterms:modified>
</cp:coreProperties>
</file>